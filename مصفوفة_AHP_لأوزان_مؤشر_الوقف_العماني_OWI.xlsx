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 AHP" sheetId="1" state="visible" r:id="rId1"/>
    <sheet xmlns:r="http://schemas.openxmlformats.org/officeDocument/2006/relationships" name="AHP الأبعاد" sheetId="2" state="visible" r:id="rId2"/>
    <sheet xmlns:r="http://schemas.openxmlformats.org/officeDocument/2006/relationships" name="AHP مالي" sheetId="3" state="visible" r:id="rId3"/>
    <sheet xmlns:r="http://schemas.openxmlformats.org/officeDocument/2006/relationships" name="AHP حوكمة" sheetId="4" state="visible" r:id="rId4"/>
    <sheet xmlns:r="http://schemas.openxmlformats.org/officeDocument/2006/relationships" name="AHP كفاءة" sheetId="5" state="visible" r:id="rId5"/>
    <sheet xmlns:r="http://schemas.openxmlformats.org/officeDocument/2006/relationships" name="AHP أثر" sheetId="6" state="visible" r:id="rId6"/>
    <sheet xmlns:r="http://schemas.openxmlformats.org/officeDocument/2006/relationships" name="AHP نم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5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مصفوفة AHP لمؤشر الوقف العُماني OWI</t>
        </is>
      </c>
      <c r="B1" s="2" t="n"/>
    </row>
    <row r="2">
      <c r="A2" s="2" t="inlineStr">
        <is>
          <t>الغرض</t>
        </is>
      </c>
      <c r="B2" s="2" t="inlineStr">
        <is>
          <t>استخراج الأوزان النسبية للأبعاد الخمسة بعد اكتمال Delphi وتثبيت قائمة المؤشرات.</t>
        </is>
      </c>
    </row>
    <row r="3">
      <c r="A3" s="2" t="inlineStr">
        <is>
          <t>مقياس Saaty</t>
        </is>
      </c>
      <c r="B3" s="2" t="inlineStr">
        <is>
          <t>1 = تساوٍ، 3 = أفضلية متوسطة، 5 = قوية، 7 = قوية جدًا، 9 = مطلقة؛ والقيم 2،4،6،8 وسطية. عند أفضلية العنصر المقابل تستخدم القيمة المقلوبة.</t>
        </is>
      </c>
    </row>
    <row r="4">
      <c r="A4" s="2" t="inlineStr">
        <is>
          <t>قاعدة الإدخال</t>
        </is>
      </c>
      <c r="B4" s="2" t="inlineStr">
        <is>
          <t>أدخل فقط الخلايا أعلى القطر. الخلايا المقابلة تحسب مقلوبها تلقائيًا، والقطر = 1.</t>
        </is>
      </c>
    </row>
    <row r="5">
      <c r="A5" s="2" t="inlineStr">
        <is>
          <t>معيار الاتساق</t>
        </is>
      </c>
      <c r="B5" s="2" t="inlineStr">
        <is>
          <t>يحسب CI وCR تلقائيًا. القاعدة الشائعة: CR ≤ 0.10 مقبول مبدئيًا؛ وإذا تجاوزها تعاد مراجعة المقارنات.</t>
        </is>
      </c>
    </row>
    <row r="6">
      <c r="A6" s="2" t="inlineStr">
        <is>
          <t>تنبيه</t>
        </is>
      </c>
      <c r="B6" s="2" t="inlineStr">
        <is>
          <t>الأوزان الناتجة لا تعتمد رسميًا قبل مراجعة منطقها الشرعي والسياساتي وإجراء اختبار الحساسية.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4" customWidth="1" min="8" max="8"/>
    <col width="14" customWidth="1" min="10" max="10"/>
    <col width="14" customWidth="1" min="11" max="11"/>
  </cols>
  <sheetData>
    <row r="1">
      <c r="A1" s="3" t="inlineStr">
        <is>
          <t>مقارنة الأبعاد الخمسة</t>
        </is>
      </c>
    </row>
    <row r="2">
      <c r="A2" s="4" t="inlineStr"/>
      <c r="B2" s="4" t="inlineStr">
        <is>
          <t>الاستدامة المالية</t>
        </is>
      </c>
      <c r="C2" s="4" t="inlineStr">
        <is>
          <t>الحوكمة الشرعية</t>
        </is>
      </c>
      <c r="D2" s="4" t="inlineStr">
        <is>
          <t>الكفاءة المؤسسية</t>
        </is>
      </c>
      <c r="E2" s="4" t="inlineStr">
        <is>
          <t>الأثر التنموي</t>
        </is>
      </c>
      <c r="F2" s="4" t="inlineStr">
        <is>
          <t>نمو القطاع</t>
        </is>
      </c>
      <c r="G2" s="4" t="inlineStr">
        <is>
          <t>المتوسط الهندسي</t>
        </is>
      </c>
      <c r="H2" s="4" t="inlineStr">
        <is>
          <t>الوزن</t>
        </is>
      </c>
      <c r="I2" s="4" t="n"/>
      <c r="J2" s="4" t="inlineStr">
        <is>
          <t>Aw</t>
        </is>
      </c>
      <c r="K2" s="4" t="inlineStr">
        <is>
          <t>λ_i</t>
        </is>
      </c>
    </row>
    <row r="3">
      <c r="A3" s="5" t="inlineStr">
        <is>
          <t>الاستدامة المالية</t>
        </is>
      </c>
      <c r="B3" s="5" t="n">
        <v>1</v>
      </c>
      <c r="C3" s="5" t="inlineStr"/>
      <c r="D3" s="5" t="inlineStr"/>
      <c r="E3" s="5" t="inlineStr"/>
      <c r="F3" s="5" t="inlineStr"/>
      <c r="G3" s="5">
        <f>IF(COUNT(B3:F3)&lt;5,"",POWER(PRODUCT(B3:F3),1/5))</f>
        <v/>
      </c>
      <c r="H3" s="5">
        <f>IF(G3="","",G3/SUM($G$3:$G$7))</f>
        <v/>
      </c>
      <c r="I3" s="5" t="n"/>
      <c r="J3" s="5">
        <f>IF(COUNT(B3:F3)&lt;5,"",B3*$H$3+C3*$H$4+D3*$H$5+E3*$H$6+F3*$H$7)</f>
        <v/>
      </c>
      <c r="K3" s="5">
        <f>IF(OR(J3="",H3=0),"",J3/H3)</f>
        <v/>
      </c>
    </row>
    <row r="4">
      <c r="A4" s="5" t="inlineStr">
        <is>
          <t>الحوكمة الشرعية</t>
        </is>
      </c>
      <c r="B4" s="5">
        <f>IF(C3="","",1/C3)</f>
        <v/>
      </c>
      <c r="C4" s="5" t="n">
        <v>1</v>
      </c>
      <c r="D4" s="5" t="inlineStr"/>
      <c r="E4" s="5" t="inlineStr"/>
      <c r="F4" s="5" t="inlineStr"/>
      <c r="G4" s="5">
        <f>IF(COUNT(B4:F4)&lt;5,"",POWER(PRODUCT(B4:F4),1/5))</f>
        <v/>
      </c>
      <c r="H4" s="5">
        <f>IF(G4="","",G4/SUM($G$3:$G$7))</f>
        <v/>
      </c>
      <c r="I4" s="5" t="n"/>
      <c r="J4" s="5">
        <f>IF(COUNT(B4:F4)&lt;5,"",B4*$H$3+C4*$H$4+D4*$H$5+E4*$H$6+F4*$H$7)</f>
        <v/>
      </c>
      <c r="K4" s="5">
        <f>IF(OR(J4="",H4=0),"",J4/H4)</f>
        <v/>
      </c>
    </row>
    <row r="5">
      <c r="A5" s="5" t="inlineStr">
        <is>
          <t>الكفاءة المؤسسية</t>
        </is>
      </c>
      <c r="B5" s="5">
        <f>IF(D3="","",1/D3)</f>
        <v/>
      </c>
      <c r="C5" s="5">
        <f>IF(D4="","",1/D4)</f>
        <v/>
      </c>
      <c r="D5" s="5" t="n">
        <v>1</v>
      </c>
      <c r="E5" s="5" t="inlineStr"/>
      <c r="F5" s="5" t="inlineStr"/>
      <c r="G5" s="5">
        <f>IF(COUNT(B5:F5)&lt;5,"",POWER(PRODUCT(B5:F5),1/5))</f>
        <v/>
      </c>
      <c r="H5" s="5">
        <f>IF(G5="","",G5/SUM($G$3:$G$7))</f>
        <v/>
      </c>
      <c r="I5" s="5" t="n"/>
      <c r="J5" s="5">
        <f>IF(COUNT(B5:F5)&lt;5,"",B5*$H$3+C5*$H$4+D5*$H$5+E5*$H$6+F5*$H$7)</f>
        <v/>
      </c>
      <c r="K5" s="5">
        <f>IF(OR(J5="",H5=0),"",J5/H5)</f>
        <v/>
      </c>
    </row>
    <row r="6">
      <c r="A6" s="5" t="inlineStr">
        <is>
          <t>الأثر التنموي</t>
        </is>
      </c>
      <c r="B6" s="5">
        <f>IF(E3="","",1/E3)</f>
        <v/>
      </c>
      <c r="C6" s="5">
        <f>IF(E4="","",1/E4)</f>
        <v/>
      </c>
      <c r="D6" s="5">
        <f>IF(E5="","",1/E5)</f>
        <v/>
      </c>
      <c r="E6" s="5" t="n">
        <v>1</v>
      </c>
      <c r="F6" s="5" t="inlineStr"/>
      <c r="G6" s="5">
        <f>IF(COUNT(B6:F6)&lt;5,"",POWER(PRODUCT(B6:F6),1/5))</f>
        <v/>
      </c>
      <c r="H6" s="5">
        <f>IF(G6="","",G6/SUM($G$3:$G$7))</f>
        <v/>
      </c>
      <c r="I6" s="5" t="n"/>
      <c r="J6" s="5">
        <f>IF(COUNT(B6:F6)&lt;5,"",B6*$H$3+C6*$H$4+D6*$H$5+E6*$H$6+F6*$H$7)</f>
        <v/>
      </c>
      <c r="K6" s="5">
        <f>IF(OR(J6="",H6=0),"",J6/H6)</f>
        <v/>
      </c>
    </row>
    <row r="7">
      <c r="A7" s="5" t="inlineStr">
        <is>
          <t>نمو القطاع</t>
        </is>
      </c>
      <c r="B7" s="5">
        <f>IF(F3="","",1/F3)</f>
        <v/>
      </c>
      <c r="C7" s="5">
        <f>IF(F4="","",1/F4)</f>
        <v/>
      </c>
      <c r="D7" s="5">
        <f>IF(F5="","",1/F5)</f>
        <v/>
      </c>
      <c r="E7" s="5">
        <f>IF(F6="","",1/F6)</f>
        <v/>
      </c>
      <c r="F7" s="5" t="n">
        <v>1</v>
      </c>
      <c r="G7" s="5">
        <f>IF(COUNT(B7:F7)&lt;5,"",POWER(PRODUCT(B7:F7),1/5))</f>
        <v/>
      </c>
      <c r="H7" s="5">
        <f>IF(G7="","",G7/SUM($G$3:$G$7))</f>
        <v/>
      </c>
      <c r="I7" s="5" t="n"/>
      <c r="J7" s="5">
        <f>IF(COUNT(B7:F7)&lt;5,"",B7*$H$3+C7*$H$4+D7*$H$5+E7*$H$6+F7*$H$7)</f>
        <v/>
      </c>
      <c r="K7" s="5">
        <f>IF(OR(J7="",H7=0),"",J7/H7)</f>
        <v/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6" t="inlineStr">
        <is>
          <t>فحص الاتساق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inlineStr">
        <is>
          <t>λmax</t>
        </is>
      </c>
      <c r="B11" s="5">
        <f>IF(COUNT(K3:K7)&lt;5,"",AVERAGE(K3:K7))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inlineStr">
        <is>
          <t>CI</t>
        </is>
      </c>
      <c r="B12" s="5">
        <f>IF(B11="","",(B11-5)/(5-1))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RI (n=5)</t>
        </is>
      </c>
      <c r="B13" s="5" t="n">
        <v>1.12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inlineStr">
        <is>
          <t>CR</t>
        </is>
      </c>
      <c r="B14" s="7">
        <f>IF(B12="","",B12/B13)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الحكم</t>
        </is>
      </c>
      <c r="B15" s="5">
        <f>IF(B14="","",IF(B14&lt;=0.1,"مقبول مبدئيًا","راجع المقارنات"))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</sheetData>
  <dataValidations count="1">
    <dataValidation sqref="C3 D3 D4 E3 E4 E5 F3 F4 F5 F6" showDropDown="0" showInputMessage="0" showErrorMessage="0" allowBlank="1" type="list">
      <formula1>"1,2,3,4,5,6,7,8,9,0.5,0.333333,0.25,0.2,0.166667,0.142857,0.125,0.111111"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مقارنات مؤشرات بُعد مالي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/>
      <c r="B2" s="10" t="inlineStr">
        <is>
          <t>OWI-01 نمو قيمة الأصول</t>
        </is>
      </c>
      <c r="C2" s="10" t="inlineStr">
        <is>
          <t>OWI-02 نمو الإيرادات</t>
        </is>
      </c>
      <c r="D2" s="10" t="inlineStr">
        <is>
          <t>OWI-03 العائد على الأصول</t>
        </is>
      </c>
      <c r="E2" s="10" t="inlineStr">
        <is>
          <t>OWI-04 الأصول المنتجة</t>
        </is>
      </c>
      <c r="F2" s="10" t="inlineStr">
        <is>
          <t>OWI-05 الأصول غير المستغلة</t>
        </is>
      </c>
      <c r="G2" s="10" t="inlineStr">
        <is>
          <t>OWI-08 معدل التحصيل</t>
        </is>
      </c>
      <c r="H2" s="10" t="inlineStr">
        <is>
          <t>OWI-09 تكلفة الإدارة/الإيراد</t>
        </is>
      </c>
      <c r="I2" s="10" t="inlineStr">
        <is>
          <t>المتوسط الهندسي</t>
        </is>
      </c>
      <c r="J2" s="10" t="inlineStr">
        <is>
          <t>الوزن</t>
        </is>
      </c>
      <c r="K2" s="10" t="n"/>
      <c r="L2" s="10" t="inlineStr">
        <is>
          <t>Aw</t>
        </is>
      </c>
      <c r="M2" s="10" t="inlineStr">
        <is>
          <t>λ_i</t>
        </is>
      </c>
    </row>
    <row r="3">
      <c r="A3" s="9" t="inlineStr">
        <is>
          <t>OWI-01 نمو قيمة الأصول</t>
        </is>
      </c>
      <c r="B3" s="9" t="n">
        <v>1</v>
      </c>
      <c r="C3" s="9" t="inlineStr"/>
      <c r="D3" s="9" t="inlineStr"/>
      <c r="E3" s="9" t="inlineStr"/>
      <c r="F3" s="9" t="inlineStr"/>
      <c r="G3" s="9" t="inlineStr"/>
      <c r="H3" s="9" t="inlineStr"/>
      <c r="I3" s="9">
        <f>IF(COUNT(B3:H3)&lt;7,"",POWER(PRODUCT(B3:H3),1/7))</f>
        <v/>
      </c>
      <c r="J3" s="9">
        <f>IF(I3="","",I3/SUM($I$3:$I$9))</f>
        <v/>
      </c>
      <c r="K3" s="9" t="n"/>
      <c r="L3" s="9">
        <f>IF(COUNT(B3:H3)&lt;7,"",B3*$J$3+C3*$J$4+D3*$J$5+E3*$J$6+F3*$J$7+G3*$J$8+H3*$J$9)</f>
        <v/>
      </c>
      <c r="M3" s="9">
        <f>IF(OR(L3="",J3=0),"",L3/J3)</f>
        <v/>
      </c>
    </row>
    <row r="4">
      <c r="A4" s="9" t="inlineStr">
        <is>
          <t>OWI-02 نمو الإيرادات</t>
        </is>
      </c>
      <c r="B4" s="9">
        <f>IF(C3="","",1/C3)</f>
        <v/>
      </c>
      <c r="C4" s="9" t="n">
        <v>1</v>
      </c>
      <c r="D4" s="9" t="inlineStr"/>
      <c r="E4" s="9" t="inlineStr"/>
      <c r="F4" s="9" t="inlineStr"/>
      <c r="G4" s="9" t="inlineStr"/>
      <c r="H4" s="9" t="inlineStr"/>
      <c r="I4" s="9">
        <f>IF(COUNT(B4:H4)&lt;7,"",POWER(PRODUCT(B4:H4),1/7))</f>
        <v/>
      </c>
      <c r="J4" s="9">
        <f>IF(I4="","",I4/SUM($I$3:$I$9))</f>
        <v/>
      </c>
      <c r="K4" s="9" t="n"/>
      <c r="L4" s="9">
        <f>IF(COUNT(B4:H4)&lt;7,"",B4*$J$3+C4*$J$4+D4*$J$5+E4*$J$6+F4*$J$7+G4*$J$8+H4*$J$9)</f>
        <v/>
      </c>
      <c r="M4" s="9">
        <f>IF(OR(L4="",J4=0),"",L4/J4)</f>
        <v/>
      </c>
    </row>
    <row r="5">
      <c r="A5" s="9" t="inlineStr">
        <is>
          <t>OWI-03 العائد على الأصول</t>
        </is>
      </c>
      <c r="B5" s="9">
        <f>IF(D3="","",1/D3)</f>
        <v/>
      </c>
      <c r="C5" s="9">
        <f>IF(D4="","",1/D4)</f>
        <v/>
      </c>
      <c r="D5" s="9" t="n">
        <v>1</v>
      </c>
      <c r="E5" s="9" t="inlineStr"/>
      <c r="F5" s="9" t="inlineStr"/>
      <c r="G5" s="9" t="inlineStr"/>
      <c r="H5" s="9" t="inlineStr"/>
      <c r="I5" s="9">
        <f>IF(COUNT(B5:H5)&lt;7,"",POWER(PRODUCT(B5:H5),1/7))</f>
        <v/>
      </c>
      <c r="J5" s="9">
        <f>IF(I5="","",I5/SUM($I$3:$I$9))</f>
        <v/>
      </c>
      <c r="K5" s="9" t="n"/>
      <c r="L5" s="9">
        <f>IF(COUNT(B5:H5)&lt;7,"",B5*$J$3+C5*$J$4+D5*$J$5+E5*$J$6+F5*$J$7+G5*$J$8+H5*$J$9)</f>
        <v/>
      </c>
      <c r="M5" s="9">
        <f>IF(OR(L5="",J5=0),"",L5/J5)</f>
        <v/>
      </c>
    </row>
    <row r="6">
      <c r="A6" s="9" t="inlineStr">
        <is>
          <t>OWI-04 الأصول المنتجة</t>
        </is>
      </c>
      <c r="B6" s="9">
        <f>IF(E3="","",1/E3)</f>
        <v/>
      </c>
      <c r="C6" s="9">
        <f>IF(E4="","",1/E4)</f>
        <v/>
      </c>
      <c r="D6" s="9">
        <f>IF(E5="","",1/E5)</f>
        <v/>
      </c>
      <c r="E6" s="9" t="n">
        <v>1</v>
      </c>
      <c r="F6" s="9" t="inlineStr"/>
      <c r="G6" s="9" t="inlineStr"/>
      <c r="H6" s="9" t="inlineStr"/>
      <c r="I6" s="9">
        <f>IF(COUNT(B6:H6)&lt;7,"",POWER(PRODUCT(B6:H6),1/7))</f>
        <v/>
      </c>
      <c r="J6" s="9">
        <f>IF(I6="","",I6/SUM($I$3:$I$9))</f>
        <v/>
      </c>
      <c r="K6" s="9" t="n"/>
      <c r="L6" s="9">
        <f>IF(COUNT(B6:H6)&lt;7,"",B6*$J$3+C6*$J$4+D6*$J$5+E6*$J$6+F6*$J$7+G6*$J$8+H6*$J$9)</f>
        <v/>
      </c>
      <c r="M6" s="9">
        <f>IF(OR(L6="",J6=0),"",L6/J6)</f>
        <v/>
      </c>
    </row>
    <row r="7">
      <c r="A7" s="9" t="inlineStr">
        <is>
          <t>OWI-05 الأصول غير المستغلة</t>
        </is>
      </c>
      <c r="B7" s="9">
        <f>IF(F3="","",1/F3)</f>
        <v/>
      </c>
      <c r="C7" s="9">
        <f>IF(F4="","",1/F4)</f>
        <v/>
      </c>
      <c r="D7" s="9">
        <f>IF(F5="","",1/F5)</f>
        <v/>
      </c>
      <c r="E7" s="9">
        <f>IF(F6="","",1/F6)</f>
        <v/>
      </c>
      <c r="F7" s="9" t="n">
        <v>1</v>
      </c>
      <c r="G7" s="9" t="inlineStr"/>
      <c r="H7" s="9" t="inlineStr"/>
      <c r="I7" s="9">
        <f>IF(COUNT(B7:H7)&lt;7,"",POWER(PRODUCT(B7:H7),1/7))</f>
        <v/>
      </c>
      <c r="J7" s="9">
        <f>IF(I7="","",I7/SUM($I$3:$I$9))</f>
        <v/>
      </c>
      <c r="K7" s="9" t="n"/>
      <c r="L7" s="9">
        <f>IF(COUNT(B7:H7)&lt;7,"",B7*$J$3+C7*$J$4+D7*$J$5+E7*$J$6+F7*$J$7+G7*$J$8+H7*$J$9)</f>
        <v/>
      </c>
      <c r="M7" s="9">
        <f>IF(OR(L7="",J7=0),"",L7/J7)</f>
        <v/>
      </c>
    </row>
    <row r="8">
      <c r="A8" s="9" t="inlineStr">
        <is>
          <t>OWI-08 معدل التحصيل</t>
        </is>
      </c>
      <c r="B8" s="9">
        <f>IF(G3="","",1/G3)</f>
        <v/>
      </c>
      <c r="C8" s="9">
        <f>IF(G4="","",1/G4)</f>
        <v/>
      </c>
      <c r="D8" s="9">
        <f>IF(G5="","",1/G5)</f>
        <v/>
      </c>
      <c r="E8" s="9">
        <f>IF(G6="","",1/G6)</f>
        <v/>
      </c>
      <c r="F8" s="9">
        <f>IF(G7="","",1/G7)</f>
        <v/>
      </c>
      <c r="G8" s="9" t="n">
        <v>1</v>
      </c>
      <c r="H8" s="9" t="inlineStr"/>
      <c r="I8" s="9">
        <f>IF(COUNT(B8:H8)&lt;7,"",POWER(PRODUCT(B8:H8),1/7))</f>
        <v/>
      </c>
      <c r="J8" s="9">
        <f>IF(I8="","",I8/SUM($I$3:$I$9))</f>
        <v/>
      </c>
      <c r="K8" s="9" t="n"/>
      <c r="L8" s="9">
        <f>IF(COUNT(B8:H8)&lt;7,"",B8*$J$3+C8*$J$4+D8*$J$5+E8*$J$6+F8*$J$7+G8*$J$8+H8*$J$9)</f>
        <v/>
      </c>
      <c r="M8" s="9">
        <f>IF(OR(L8="",J8=0),"",L8/J8)</f>
        <v/>
      </c>
    </row>
    <row r="9">
      <c r="A9" s="9" t="inlineStr">
        <is>
          <t>OWI-09 تكلفة الإدارة/الإيراد</t>
        </is>
      </c>
      <c r="B9" s="9">
        <f>IF(H3="","",1/H3)</f>
        <v/>
      </c>
      <c r="C9" s="9">
        <f>IF(H4="","",1/H4)</f>
        <v/>
      </c>
      <c r="D9" s="9">
        <f>IF(H5="","",1/H5)</f>
        <v/>
      </c>
      <c r="E9" s="9">
        <f>IF(H6="","",1/H6)</f>
        <v/>
      </c>
      <c r="F9" s="9">
        <f>IF(H7="","",1/H7)</f>
        <v/>
      </c>
      <c r="G9" s="9">
        <f>IF(H8="","",1/H8)</f>
        <v/>
      </c>
      <c r="H9" s="9" t="n">
        <v>1</v>
      </c>
      <c r="I9" s="9">
        <f>IF(COUNT(B9:H9)&lt;7,"",POWER(PRODUCT(B9:H9),1/7))</f>
        <v/>
      </c>
      <c r="J9" s="9">
        <f>IF(I9="","",I9/SUM($I$3:$I$9))</f>
        <v/>
      </c>
      <c r="K9" s="9" t="n"/>
      <c r="L9" s="9">
        <f>IF(COUNT(B9:H9)&lt;7,"",B9*$J$3+C9*$J$4+D9*$J$5+E9*$J$6+F9*$J$7+G9*$J$8+H9*$J$9)</f>
        <v/>
      </c>
      <c r="M9" s="9">
        <f>IF(OR(L9="",J9=0),"",L9/J9)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λmax</t>
        </is>
      </c>
      <c r="B11" s="9">
        <f>IF(COUNT(M3:M9)&lt;7,"",AVERAGE(M3:M9))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inlineStr">
        <is>
          <t>CI</t>
        </is>
      </c>
      <c r="B12" s="9">
        <f>IF(B11="","",(B11-7)/(7-1))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inlineStr">
        <is>
          <t>RI</t>
        </is>
      </c>
      <c r="B13" s="9" t="n">
        <v>1.32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inlineStr">
        <is>
          <t>CR</t>
        </is>
      </c>
      <c r="B14" s="9">
        <f>IF(B12="","",IF(B13=0,0,B12/B13))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inlineStr">
        <is>
          <t>الحكم</t>
        </is>
      </c>
      <c r="B15" s="9">
        <f>IF(B14="","",IF(B14&lt;=0.1,"مقبول مبدئيًا","راجع المقارنات"))</f>
        <v/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dataValidations count="1">
    <dataValidation sqref="C3 D3 D4 E3 E4 E5 F3 F4 F5 F6 G3 G4 G5 G6 G7 H3 H4 H5 H6 H7 H8" showDropDown="0" showInputMessage="0" showErrorMessage="0" allowBlank="1" type="list">
      <formula1>"1,2,3,4,5,6,7,8,9,0.5,0.333333,0.25,0.2,0.166667,0.142857,0.125,0.111111"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مقارنات مؤشرات بُعد حوكمة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10" t="inlineStr"/>
      <c r="B2" s="10" t="inlineStr">
        <is>
          <t>OWI-11 شرط الواقف</t>
        </is>
      </c>
      <c r="C2" s="10" t="inlineStr">
        <is>
          <t>OWI-12 الرقابة الشرعية</t>
        </is>
      </c>
      <c r="D2" s="10" t="inlineStr">
        <is>
          <t>OWI-13 إغلاق الملاحظات</t>
        </is>
      </c>
      <c r="E2" s="10" t="inlineStr">
        <is>
          <t>OWI-14 انتظام التقارير</t>
        </is>
      </c>
      <c r="F2" s="10" t="inlineStr">
        <is>
          <t>OWI-15 الإفصاح</t>
        </is>
      </c>
      <c r="G2" s="10" t="inlineStr">
        <is>
          <t>OWI-17 الحسابات المدققة</t>
        </is>
      </c>
      <c r="H2" s="10" t="inlineStr">
        <is>
          <t>المتوسط الهندسي</t>
        </is>
      </c>
      <c r="I2" s="10" t="inlineStr">
        <is>
          <t>الوزن</t>
        </is>
      </c>
      <c r="J2" s="10" t="n"/>
      <c r="K2" s="10" t="inlineStr">
        <is>
          <t>Aw</t>
        </is>
      </c>
      <c r="L2" s="10" t="inlineStr">
        <is>
          <t>λ_i</t>
        </is>
      </c>
    </row>
    <row r="3">
      <c r="A3" s="9" t="inlineStr">
        <is>
          <t>OWI-11 شرط الواقف</t>
        </is>
      </c>
      <c r="B3" s="9" t="n">
        <v>1</v>
      </c>
      <c r="C3" s="9" t="inlineStr"/>
      <c r="D3" s="9" t="inlineStr"/>
      <c r="E3" s="9" t="inlineStr"/>
      <c r="F3" s="9" t="inlineStr"/>
      <c r="G3" s="9" t="inlineStr"/>
      <c r="H3" s="9">
        <f>IF(COUNT(B3:G3)&lt;6,"",POWER(PRODUCT(B3:G3),1/6))</f>
        <v/>
      </c>
      <c r="I3" s="9">
        <f>IF(H3="","",H3/SUM($H$3:$H$8))</f>
        <v/>
      </c>
      <c r="J3" s="9" t="n"/>
      <c r="K3" s="9">
        <f>IF(COUNT(B3:G3)&lt;6,"",B3*$I$3+C3*$I$4+D3*$I$5+E3*$I$6+F3*$I$7+G3*$I$8)</f>
        <v/>
      </c>
      <c r="L3" s="9">
        <f>IF(OR(K3="",I3=0),"",K3/I3)</f>
        <v/>
      </c>
    </row>
    <row r="4">
      <c r="A4" s="9" t="inlineStr">
        <is>
          <t>OWI-12 الرقابة الشرعية</t>
        </is>
      </c>
      <c r="B4" s="9">
        <f>IF(C3="","",1/C3)</f>
        <v/>
      </c>
      <c r="C4" s="9" t="n">
        <v>1</v>
      </c>
      <c r="D4" s="9" t="inlineStr"/>
      <c r="E4" s="9" t="inlineStr"/>
      <c r="F4" s="9" t="inlineStr"/>
      <c r="G4" s="9" t="inlineStr"/>
      <c r="H4" s="9">
        <f>IF(COUNT(B4:G4)&lt;6,"",POWER(PRODUCT(B4:G4),1/6))</f>
        <v/>
      </c>
      <c r="I4" s="9">
        <f>IF(H4="","",H4/SUM($H$3:$H$8))</f>
        <v/>
      </c>
      <c r="J4" s="9" t="n"/>
      <c r="K4" s="9">
        <f>IF(COUNT(B4:G4)&lt;6,"",B4*$I$3+C4*$I$4+D4*$I$5+E4*$I$6+F4*$I$7+G4*$I$8)</f>
        <v/>
      </c>
      <c r="L4" s="9">
        <f>IF(OR(K4="",I4=0),"",K4/I4)</f>
        <v/>
      </c>
    </row>
    <row r="5">
      <c r="A5" s="9" t="inlineStr">
        <is>
          <t>OWI-13 إغلاق الملاحظات</t>
        </is>
      </c>
      <c r="B5" s="9">
        <f>IF(D3="","",1/D3)</f>
        <v/>
      </c>
      <c r="C5" s="9">
        <f>IF(D4="","",1/D4)</f>
        <v/>
      </c>
      <c r="D5" s="9" t="n">
        <v>1</v>
      </c>
      <c r="E5" s="9" t="inlineStr"/>
      <c r="F5" s="9" t="inlineStr"/>
      <c r="G5" s="9" t="inlineStr"/>
      <c r="H5" s="9">
        <f>IF(COUNT(B5:G5)&lt;6,"",POWER(PRODUCT(B5:G5),1/6))</f>
        <v/>
      </c>
      <c r="I5" s="9">
        <f>IF(H5="","",H5/SUM($H$3:$H$8))</f>
        <v/>
      </c>
      <c r="J5" s="9" t="n"/>
      <c r="K5" s="9">
        <f>IF(COUNT(B5:G5)&lt;6,"",B5*$I$3+C5*$I$4+D5*$I$5+E5*$I$6+F5*$I$7+G5*$I$8)</f>
        <v/>
      </c>
      <c r="L5" s="9">
        <f>IF(OR(K5="",I5=0),"",K5/I5)</f>
        <v/>
      </c>
    </row>
    <row r="6">
      <c r="A6" s="9" t="inlineStr">
        <is>
          <t>OWI-14 انتظام التقارير</t>
        </is>
      </c>
      <c r="B6" s="9">
        <f>IF(E3="","",1/E3)</f>
        <v/>
      </c>
      <c r="C6" s="9">
        <f>IF(E4="","",1/E4)</f>
        <v/>
      </c>
      <c r="D6" s="9">
        <f>IF(E5="","",1/E5)</f>
        <v/>
      </c>
      <c r="E6" s="9" t="n">
        <v>1</v>
      </c>
      <c r="F6" s="9" t="inlineStr"/>
      <c r="G6" s="9" t="inlineStr"/>
      <c r="H6" s="9">
        <f>IF(COUNT(B6:G6)&lt;6,"",POWER(PRODUCT(B6:G6),1/6))</f>
        <v/>
      </c>
      <c r="I6" s="9">
        <f>IF(H6="","",H6/SUM($H$3:$H$8))</f>
        <v/>
      </c>
      <c r="J6" s="9" t="n"/>
      <c r="K6" s="9">
        <f>IF(COUNT(B6:G6)&lt;6,"",B6*$I$3+C6*$I$4+D6*$I$5+E6*$I$6+F6*$I$7+G6*$I$8)</f>
        <v/>
      </c>
      <c r="L6" s="9">
        <f>IF(OR(K6="",I6=0),"",K6/I6)</f>
        <v/>
      </c>
    </row>
    <row r="7">
      <c r="A7" s="9" t="inlineStr">
        <is>
          <t>OWI-15 الإفصاح</t>
        </is>
      </c>
      <c r="B7" s="9">
        <f>IF(F3="","",1/F3)</f>
        <v/>
      </c>
      <c r="C7" s="9">
        <f>IF(F4="","",1/F4)</f>
        <v/>
      </c>
      <c r="D7" s="9">
        <f>IF(F5="","",1/F5)</f>
        <v/>
      </c>
      <c r="E7" s="9">
        <f>IF(F6="","",1/F6)</f>
        <v/>
      </c>
      <c r="F7" s="9" t="n">
        <v>1</v>
      </c>
      <c r="G7" s="9" t="inlineStr"/>
      <c r="H7" s="9">
        <f>IF(COUNT(B7:G7)&lt;6,"",POWER(PRODUCT(B7:G7),1/6))</f>
        <v/>
      </c>
      <c r="I7" s="9">
        <f>IF(H7="","",H7/SUM($H$3:$H$8))</f>
        <v/>
      </c>
      <c r="J7" s="9" t="n"/>
      <c r="K7" s="9">
        <f>IF(COUNT(B7:G7)&lt;6,"",B7*$I$3+C7*$I$4+D7*$I$5+E7*$I$6+F7*$I$7+G7*$I$8)</f>
        <v/>
      </c>
      <c r="L7" s="9">
        <f>IF(OR(K7="",I7=0),"",K7/I7)</f>
        <v/>
      </c>
    </row>
    <row r="8">
      <c r="A8" s="9" t="inlineStr">
        <is>
          <t>OWI-17 الحسابات المدققة</t>
        </is>
      </c>
      <c r="B8" s="9">
        <f>IF(G3="","",1/G3)</f>
        <v/>
      </c>
      <c r="C8" s="9">
        <f>IF(G4="","",1/G4)</f>
        <v/>
      </c>
      <c r="D8" s="9">
        <f>IF(G5="","",1/G5)</f>
        <v/>
      </c>
      <c r="E8" s="9">
        <f>IF(G6="","",1/G6)</f>
        <v/>
      </c>
      <c r="F8" s="9">
        <f>IF(G7="","",1/G7)</f>
        <v/>
      </c>
      <c r="G8" s="9" t="n">
        <v>1</v>
      </c>
      <c r="H8" s="9">
        <f>IF(COUNT(B8:G8)&lt;6,"",POWER(PRODUCT(B8:G8),1/6))</f>
        <v/>
      </c>
      <c r="I8" s="9">
        <f>IF(H8="","",H8/SUM($H$3:$H$8))</f>
        <v/>
      </c>
      <c r="J8" s="9" t="n"/>
      <c r="K8" s="9">
        <f>IF(COUNT(B8:G8)&lt;6,"",B8*$I$3+C8*$I$4+D8*$I$5+E8*$I$6+F8*$I$7+G8*$I$8)</f>
        <v/>
      </c>
      <c r="L8" s="9">
        <f>IF(OR(K8="",I8=0),"",K8/I8)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inlineStr">
        <is>
          <t>λmax</t>
        </is>
      </c>
      <c r="B10" s="9">
        <f>IF(COUNT(L3:L8)&lt;6,"",AVERAGE(L3:L8))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inlineStr">
        <is>
          <t>CI</t>
        </is>
      </c>
      <c r="B11" s="9">
        <f>IF(B10="","",(B10-6)/(6-1))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inlineStr">
        <is>
          <t>RI</t>
        </is>
      </c>
      <c r="B12" s="9" t="n">
        <v>1.24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inlineStr">
        <is>
          <t>CR</t>
        </is>
      </c>
      <c r="B13" s="9">
        <f>IF(B11="","",IF(B12=0,0,B11/B12))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inlineStr">
        <is>
          <t>الحكم</t>
        </is>
      </c>
      <c r="B14" s="9">
        <f>IF(B13="","",IF(B13&lt;=0.1,"مقبول مبدئيًا","راجع المقارنات"))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</sheetData>
  <dataValidations count="1">
    <dataValidation sqref="C3 D3 D4 E3 E4 E5 F3 F4 F5 F6 G3 G4 G5 G6 G7" showDropDown="0" showInputMessage="0" showErrorMessage="0" allowBlank="1" type="list">
      <formula1>"1,2,3,4,5,6,7,8,9,0.5,0.333333,0.25,0.2,0.166667,0.142857,0.125,0.111111"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مقارنات مؤشرات بُعد كفاءة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10" t="inlineStr"/>
      <c r="B2" s="10" t="inlineStr">
        <is>
          <t>OWI-20 رقمنة السجلات</t>
        </is>
      </c>
      <c r="C2" s="10" t="inlineStr">
        <is>
          <t>OWI-21 توثيق الأوقاف</t>
        </is>
      </c>
      <c r="D2" s="10" t="inlineStr">
        <is>
          <t>OWI-22 زمن المعاملة</t>
        </is>
      </c>
      <c r="E2" s="10" t="inlineStr">
        <is>
          <t>OWI-23 الخدمات الإلكترونية</t>
        </is>
      </c>
      <c r="F2" s="10" t="inlineStr">
        <is>
          <t>OWI-24 جودة البيانات</t>
        </is>
      </c>
      <c r="G2" s="10" t="inlineStr">
        <is>
          <t>OWI-26 إدارة المخاطر</t>
        </is>
      </c>
      <c r="H2" s="10" t="inlineStr">
        <is>
          <t>المتوسط الهندسي</t>
        </is>
      </c>
      <c r="I2" s="10" t="inlineStr">
        <is>
          <t>الوزن</t>
        </is>
      </c>
      <c r="J2" s="10" t="n"/>
      <c r="K2" s="10" t="inlineStr">
        <is>
          <t>Aw</t>
        </is>
      </c>
      <c r="L2" s="10" t="inlineStr">
        <is>
          <t>λ_i</t>
        </is>
      </c>
    </row>
    <row r="3">
      <c r="A3" s="9" t="inlineStr">
        <is>
          <t>OWI-20 رقمنة السجلات</t>
        </is>
      </c>
      <c r="B3" s="9" t="n">
        <v>1</v>
      </c>
      <c r="C3" s="9" t="inlineStr"/>
      <c r="D3" s="9" t="inlineStr"/>
      <c r="E3" s="9" t="inlineStr"/>
      <c r="F3" s="9" t="inlineStr"/>
      <c r="G3" s="9" t="inlineStr"/>
      <c r="H3" s="9">
        <f>IF(COUNT(B3:G3)&lt;6,"",POWER(PRODUCT(B3:G3),1/6))</f>
        <v/>
      </c>
      <c r="I3" s="9">
        <f>IF(H3="","",H3/SUM($H$3:$H$8))</f>
        <v/>
      </c>
      <c r="J3" s="9" t="n"/>
      <c r="K3" s="9">
        <f>IF(COUNT(B3:G3)&lt;6,"",B3*$I$3+C3*$I$4+D3*$I$5+E3*$I$6+F3*$I$7+G3*$I$8)</f>
        <v/>
      </c>
      <c r="L3" s="9">
        <f>IF(OR(K3="",I3=0),"",K3/I3)</f>
        <v/>
      </c>
    </row>
    <row r="4">
      <c r="A4" s="9" t="inlineStr">
        <is>
          <t>OWI-21 توثيق الأوقاف</t>
        </is>
      </c>
      <c r="B4" s="9">
        <f>IF(C3="","",1/C3)</f>
        <v/>
      </c>
      <c r="C4" s="9" t="n">
        <v>1</v>
      </c>
      <c r="D4" s="9" t="inlineStr"/>
      <c r="E4" s="9" t="inlineStr"/>
      <c r="F4" s="9" t="inlineStr"/>
      <c r="G4" s="9" t="inlineStr"/>
      <c r="H4" s="9">
        <f>IF(COUNT(B4:G4)&lt;6,"",POWER(PRODUCT(B4:G4),1/6))</f>
        <v/>
      </c>
      <c r="I4" s="9">
        <f>IF(H4="","",H4/SUM($H$3:$H$8))</f>
        <v/>
      </c>
      <c r="J4" s="9" t="n"/>
      <c r="K4" s="9">
        <f>IF(COUNT(B4:G4)&lt;6,"",B4*$I$3+C4*$I$4+D4*$I$5+E4*$I$6+F4*$I$7+G4*$I$8)</f>
        <v/>
      </c>
      <c r="L4" s="9">
        <f>IF(OR(K4="",I4=0),"",K4/I4)</f>
        <v/>
      </c>
    </row>
    <row r="5">
      <c r="A5" s="9" t="inlineStr">
        <is>
          <t>OWI-22 زمن المعاملة</t>
        </is>
      </c>
      <c r="B5" s="9">
        <f>IF(D3="","",1/D3)</f>
        <v/>
      </c>
      <c r="C5" s="9">
        <f>IF(D4="","",1/D4)</f>
        <v/>
      </c>
      <c r="D5" s="9" t="n">
        <v>1</v>
      </c>
      <c r="E5" s="9" t="inlineStr"/>
      <c r="F5" s="9" t="inlineStr"/>
      <c r="G5" s="9" t="inlineStr"/>
      <c r="H5" s="9">
        <f>IF(COUNT(B5:G5)&lt;6,"",POWER(PRODUCT(B5:G5),1/6))</f>
        <v/>
      </c>
      <c r="I5" s="9">
        <f>IF(H5="","",H5/SUM($H$3:$H$8))</f>
        <v/>
      </c>
      <c r="J5" s="9" t="n"/>
      <c r="K5" s="9">
        <f>IF(COUNT(B5:G5)&lt;6,"",B5*$I$3+C5*$I$4+D5*$I$5+E5*$I$6+F5*$I$7+G5*$I$8)</f>
        <v/>
      </c>
      <c r="L5" s="9">
        <f>IF(OR(K5="",I5=0),"",K5/I5)</f>
        <v/>
      </c>
    </row>
    <row r="6">
      <c r="A6" s="9" t="inlineStr">
        <is>
          <t>OWI-23 الخدمات الإلكترونية</t>
        </is>
      </c>
      <c r="B6" s="9">
        <f>IF(E3="","",1/E3)</f>
        <v/>
      </c>
      <c r="C6" s="9">
        <f>IF(E4="","",1/E4)</f>
        <v/>
      </c>
      <c r="D6" s="9">
        <f>IF(E5="","",1/E5)</f>
        <v/>
      </c>
      <c r="E6" s="9" t="n">
        <v>1</v>
      </c>
      <c r="F6" s="9" t="inlineStr"/>
      <c r="G6" s="9" t="inlineStr"/>
      <c r="H6" s="9">
        <f>IF(COUNT(B6:G6)&lt;6,"",POWER(PRODUCT(B6:G6),1/6))</f>
        <v/>
      </c>
      <c r="I6" s="9">
        <f>IF(H6="","",H6/SUM($H$3:$H$8))</f>
        <v/>
      </c>
      <c r="J6" s="9" t="n"/>
      <c r="K6" s="9">
        <f>IF(COUNT(B6:G6)&lt;6,"",B6*$I$3+C6*$I$4+D6*$I$5+E6*$I$6+F6*$I$7+G6*$I$8)</f>
        <v/>
      </c>
      <c r="L6" s="9">
        <f>IF(OR(K6="",I6=0),"",K6/I6)</f>
        <v/>
      </c>
    </row>
    <row r="7">
      <c r="A7" s="9" t="inlineStr">
        <is>
          <t>OWI-24 جودة البيانات</t>
        </is>
      </c>
      <c r="B7" s="9">
        <f>IF(F3="","",1/F3)</f>
        <v/>
      </c>
      <c r="C7" s="9">
        <f>IF(F4="","",1/F4)</f>
        <v/>
      </c>
      <c r="D7" s="9">
        <f>IF(F5="","",1/F5)</f>
        <v/>
      </c>
      <c r="E7" s="9">
        <f>IF(F6="","",1/F6)</f>
        <v/>
      </c>
      <c r="F7" s="9" t="n">
        <v>1</v>
      </c>
      <c r="G7" s="9" t="inlineStr"/>
      <c r="H7" s="9">
        <f>IF(COUNT(B7:G7)&lt;6,"",POWER(PRODUCT(B7:G7),1/6))</f>
        <v/>
      </c>
      <c r="I7" s="9">
        <f>IF(H7="","",H7/SUM($H$3:$H$8))</f>
        <v/>
      </c>
      <c r="J7" s="9" t="n"/>
      <c r="K7" s="9">
        <f>IF(COUNT(B7:G7)&lt;6,"",B7*$I$3+C7*$I$4+D7*$I$5+E7*$I$6+F7*$I$7+G7*$I$8)</f>
        <v/>
      </c>
      <c r="L7" s="9">
        <f>IF(OR(K7="",I7=0),"",K7/I7)</f>
        <v/>
      </c>
    </row>
    <row r="8">
      <c r="A8" s="9" t="inlineStr">
        <is>
          <t>OWI-26 إدارة المخاطر</t>
        </is>
      </c>
      <c r="B8" s="9">
        <f>IF(G3="","",1/G3)</f>
        <v/>
      </c>
      <c r="C8" s="9">
        <f>IF(G4="","",1/G4)</f>
        <v/>
      </c>
      <c r="D8" s="9">
        <f>IF(G5="","",1/G5)</f>
        <v/>
      </c>
      <c r="E8" s="9">
        <f>IF(G6="","",1/G6)</f>
        <v/>
      </c>
      <c r="F8" s="9">
        <f>IF(G7="","",1/G7)</f>
        <v/>
      </c>
      <c r="G8" s="9" t="n">
        <v>1</v>
      </c>
      <c r="H8" s="9">
        <f>IF(COUNT(B8:G8)&lt;6,"",POWER(PRODUCT(B8:G8),1/6))</f>
        <v/>
      </c>
      <c r="I8" s="9">
        <f>IF(H8="","",H8/SUM($H$3:$H$8))</f>
        <v/>
      </c>
      <c r="J8" s="9" t="n"/>
      <c r="K8" s="9">
        <f>IF(COUNT(B8:G8)&lt;6,"",B8*$I$3+C8*$I$4+D8*$I$5+E8*$I$6+F8*$I$7+G8*$I$8)</f>
        <v/>
      </c>
      <c r="L8" s="9">
        <f>IF(OR(K8="",I8=0),"",K8/I8)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inlineStr">
        <is>
          <t>λmax</t>
        </is>
      </c>
      <c r="B10" s="9">
        <f>IF(COUNT(L3:L8)&lt;6,"",AVERAGE(L3:L8))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inlineStr">
        <is>
          <t>CI</t>
        </is>
      </c>
      <c r="B11" s="9">
        <f>IF(B10="","",(B10-6)/(6-1))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inlineStr">
        <is>
          <t>RI</t>
        </is>
      </c>
      <c r="B12" s="9" t="n">
        <v>1.24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inlineStr">
        <is>
          <t>CR</t>
        </is>
      </c>
      <c r="B13" s="9">
        <f>IF(B11="","",IF(B12=0,0,B11/B12))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inlineStr">
        <is>
          <t>الحكم</t>
        </is>
      </c>
      <c r="B14" s="9">
        <f>IF(B13="","",IF(B13&lt;=0.1,"مقبول مبدئيًا","راجع المقارنات"))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</sheetData>
  <dataValidations count="1">
    <dataValidation sqref="C3 D3 D4 E3 E4 E5 F3 F4 F5 F6 G3 G4 G5 G6 G7" showDropDown="0" showInputMessage="0" showErrorMessage="0" allowBlank="1" type="list">
      <formula1>"1,2,3,4,5,6,7,8,9,0.5,0.333333,0.25,0.2,0.166667,0.142857,0.125,0.111111"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مقارنات مؤشرات بُعد أثر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>
      <c r="A2" s="10" t="inlineStr"/>
      <c r="B2" s="10" t="inlineStr">
        <is>
          <t>OWI-27 المستفيدون</t>
        </is>
      </c>
      <c r="C2" s="10" t="inlineStr">
        <is>
          <t>OWI-28 تكلفة المستفيد</t>
        </is>
      </c>
      <c r="D2" s="10" t="inlineStr">
        <is>
          <t>OWI-29 الإنفاق المرتبط بنتائج</t>
        </is>
      </c>
      <c r="E2" s="10" t="inlineStr">
        <is>
          <t>OWI-30 أثر التعليم</t>
        </is>
      </c>
      <c r="F2" s="10" t="inlineStr">
        <is>
          <t>OWI-33 الفقر والتمكين</t>
        </is>
      </c>
      <c r="G2" s="10" t="inlineStr">
        <is>
          <t>OWI-34 العدالة الجغرافية</t>
        </is>
      </c>
      <c r="H2" s="10" t="inlineStr">
        <is>
          <t>OWI-35 رضا المستفيدين</t>
        </is>
      </c>
      <c r="I2" s="10" t="inlineStr">
        <is>
          <t>المتوسط الهندسي</t>
        </is>
      </c>
      <c r="J2" s="10" t="inlineStr">
        <is>
          <t>الوزن</t>
        </is>
      </c>
      <c r="K2" s="10" t="n"/>
      <c r="L2" s="10" t="inlineStr">
        <is>
          <t>Aw</t>
        </is>
      </c>
      <c r="M2" s="10" t="inlineStr">
        <is>
          <t>λ_i</t>
        </is>
      </c>
    </row>
    <row r="3">
      <c r="A3" s="9" t="inlineStr">
        <is>
          <t>OWI-27 المستفيدون</t>
        </is>
      </c>
      <c r="B3" s="9" t="n">
        <v>1</v>
      </c>
      <c r="C3" s="9" t="inlineStr"/>
      <c r="D3" s="9" t="inlineStr"/>
      <c r="E3" s="9" t="inlineStr"/>
      <c r="F3" s="9" t="inlineStr"/>
      <c r="G3" s="9" t="inlineStr"/>
      <c r="H3" s="9" t="inlineStr"/>
      <c r="I3" s="9">
        <f>IF(COUNT(B3:H3)&lt;7,"",POWER(PRODUCT(B3:H3),1/7))</f>
        <v/>
      </c>
      <c r="J3" s="9">
        <f>IF(I3="","",I3/SUM($I$3:$I$9))</f>
        <v/>
      </c>
      <c r="K3" s="9" t="n"/>
      <c r="L3" s="9">
        <f>IF(COUNT(B3:H3)&lt;7,"",B3*$J$3+C3*$J$4+D3*$J$5+E3*$J$6+F3*$J$7+G3*$J$8+H3*$J$9)</f>
        <v/>
      </c>
      <c r="M3" s="9">
        <f>IF(OR(L3="",J3=0),"",L3/J3)</f>
        <v/>
      </c>
    </row>
    <row r="4">
      <c r="A4" s="9" t="inlineStr">
        <is>
          <t>OWI-28 تكلفة المستفيد</t>
        </is>
      </c>
      <c r="B4" s="9">
        <f>IF(C3="","",1/C3)</f>
        <v/>
      </c>
      <c r="C4" s="9" t="n">
        <v>1</v>
      </c>
      <c r="D4" s="9" t="inlineStr"/>
      <c r="E4" s="9" t="inlineStr"/>
      <c r="F4" s="9" t="inlineStr"/>
      <c r="G4" s="9" t="inlineStr"/>
      <c r="H4" s="9" t="inlineStr"/>
      <c r="I4" s="9">
        <f>IF(COUNT(B4:H4)&lt;7,"",POWER(PRODUCT(B4:H4),1/7))</f>
        <v/>
      </c>
      <c r="J4" s="9">
        <f>IF(I4="","",I4/SUM($I$3:$I$9))</f>
        <v/>
      </c>
      <c r="K4" s="9" t="n"/>
      <c r="L4" s="9">
        <f>IF(COUNT(B4:H4)&lt;7,"",B4*$J$3+C4*$J$4+D4*$J$5+E4*$J$6+F4*$J$7+G4*$J$8+H4*$J$9)</f>
        <v/>
      </c>
      <c r="M4" s="9">
        <f>IF(OR(L4="",J4=0),"",L4/J4)</f>
        <v/>
      </c>
    </row>
    <row r="5">
      <c r="A5" s="9" t="inlineStr">
        <is>
          <t>OWI-29 الإنفاق المرتبط بنتائج</t>
        </is>
      </c>
      <c r="B5" s="9">
        <f>IF(D3="","",1/D3)</f>
        <v/>
      </c>
      <c r="C5" s="9">
        <f>IF(D4="","",1/D4)</f>
        <v/>
      </c>
      <c r="D5" s="9" t="n">
        <v>1</v>
      </c>
      <c r="E5" s="9" t="inlineStr"/>
      <c r="F5" s="9" t="inlineStr"/>
      <c r="G5" s="9" t="inlineStr"/>
      <c r="H5" s="9" t="inlineStr"/>
      <c r="I5" s="9">
        <f>IF(COUNT(B5:H5)&lt;7,"",POWER(PRODUCT(B5:H5),1/7))</f>
        <v/>
      </c>
      <c r="J5" s="9">
        <f>IF(I5="","",I5/SUM($I$3:$I$9))</f>
        <v/>
      </c>
      <c r="K5" s="9" t="n"/>
      <c r="L5" s="9">
        <f>IF(COUNT(B5:H5)&lt;7,"",B5*$J$3+C5*$J$4+D5*$J$5+E5*$J$6+F5*$J$7+G5*$J$8+H5*$J$9)</f>
        <v/>
      </c>
      <c r="M5" s="9">
        <f>IF(OR(L5="",J5=0),"",L5/J5)</f>
        <v/>
      </c>
    </row>
    <row r="6">
      <c r="A6" s="9" t="inlineStr">
        <is>
          <t>OWI-30 أثر التعليم</t>
        </is>
      </c>
      <c r="B6" s="9">
        <f>IF(E3="","",1/E3)</f>
        <v/>
      </c>
      <c r="C6" s="9">
        <f>IF(E4="","",1/E4)</f>
        <v/>
      </c>
      <c r="D6" s="9">
        <f>IF(E5="","",1/E5)</f>
        <v/>
      </c>
      <c r="E6" s="9" t="n">
        <v>1</v>
      </c>
      <c r="F6" s="9" t="inlineStr"/>
      <c r="G6" s="9" t="inlineStr"/>
      <c r="H6" s="9" t="inlineStr"/>
      <c r="I6" s="9">
        <f>IF(COUNT(B6:H6)&lt;7,"",POWER(PRODUCT(B6:H6),1/7))</f>
        <v/>
      </c>
      <c r="J6" s="9">
        <f>IF(I6="","",I6/SUM($I$3:$I$9))</f>
        <v/>
      </c>
      <c r="K6" s="9" t="n"/>
      <c r="L6" s="9">
        <f>IF(COUNT(B6:H6)&lt;7,"",B6*$J$3+C6*$J$4+D6*$J$5+E6*$J$6+F6*$J$7+G6*$J$8+H6*$J$9)</f>
        <v/>
      </c>
      <c r="M6" s="9">
        <f>IF(OR(L6="",J6=0),"",L6/J6)</f>
        <v/>
      </c>
    </row>
    <row r="7">
      <c r="A7" s="9" t="inlineStr">
        <is>
          <t>OWI-33 الفقر والتمكين</t>
        </is>
      </c>
      <c r="B7" s="9">
        <f>IF(F3="","",1/F3)</f>
        <v/>
      </c>
      <c r="C7" s="9">
        <f>IF(F4="","",1/F4)</f>
        <v/>
      </c>
      <c r="D7" s="9">
        <f>IF(F5="","",1/F5)</f>
        <v/>
      </c>
      <c r="E7" s="9">
        <f>IF(F6="","",1/F6)</f>
        <v/>
      </c>
      <c r="F7" s="9" t="n">
        <v>1</v>
      </c>
      <c r="G7" s="9" t="inlineStr"/>
      <c r="H7" s="9" t="inlineStr"/>
      <c r="I7" s="9">
        <f>IF(COUNT(B7:H7)&lt;7,"",POWER(PRODUCT(B7:H7),1/7))</f>
        <v/>
      </c>
      <c r="J7" s="9">
        <f>IF(I7="","",I7/SUM($I$3:$I$9))</f>
        <v/>
      </c>
      <c r="K7" s="9" t="n"/>
      <c r="L7" s="9">
        <f>IF(COUNT(B7:H7)&lt;7,"",B7*$J$3+C7*$J$4+D7*$J$5+E7*$J$6+F7*$J$7+G7*$J$8+H7*$J$9)</f>
        <v/>
      </c>
      <c r="M7" s="9">
        <f>IF(OR(L7="",J7=0),"",L7/J7)</f>
        <v/>
      </c>
    </row>
    <row r="8">
      <c r="A8" s="9" t="inlineStr">
        <is>
          <t>OWI-34 العدالة الجغرافية</t>
        </is>
      </c>
      <c r="B8" s="9">
        <f>IF(G3="","",1/G3)</f>
        <v/>
      </c>
      <c r="C8" s="9">
        <f>IF(G4="","",1/G4)</f>
        <v/>
      </c>
      <c r="D8" s="9">
        <f>IF(G5="","",1/G5)</f>
        <v/>
      </c>
      <c r="E8" s="9">
        <f>IF(G6="","",1/G6)</f>
        <v/>
      </c>
      <c r="F8" s="9">
        <f>IF(G7="","",1/G7)</f>
        <v/>
      </c>
      <c r="G8" s="9" t="n">
        <v>1</v>
      </c>
      <c r="H8" s="9" t="inlineStr"/>
      <c r="I8" s="9">
        <f>IF(COUNT(B8:H8)&lt;7,"",POWER(PRODUCT(B8:H8),1/7))</f>
        <v/>
      </c>
      <c r="J8" s="9">
        <f>IF(I8="","",I8/SUM($I$3:$I$9))</f>
        <v/>
      </c>
      <c r="K8" s="9" t="n"/>
      <c r="L8" s="9">
        <f>IF(COUNT(B8:H8)&lt;7,"",B8*$J$3+C8*$J$4+D8*$J$5+E8*$J$6+F8*$J$7+G8*$J$8+H8*$J$9)</f>
        <v/>
      </c>
      <c r="M8" s="9">
        <f>IF(OR(L8="",J8=0),"",L8/J8)</f>
        <v/>
      </c>
    </row>
    <row r="9">
      <c r="A9" s="9" t="inlineStr">
        <is>
          <t>OWI-35 رضا المستفيدين</t>
        </is>
      </c>
      <c r="B9" s="9">
        <f>IF(H3="","",1/H3)</f>
        <v/>
      </c>
      <c r="C9" s="9">
        <f>IF(H4="","",1/H4)</f>
        <v/>
      </c>
      <c r="D9" s="9">
        <f>IF(H5="","",1/H5)</f>
        <v/>
      </c>
      <c r="E9" s="9">
        <f>IF(H6="","",1/H6)</f>
        <v/>
      </c>
      <c r="F9" s="9">
        <f>IF(H7="","",1/H7)</f>
        <v/>
      </c>
      <c r="G9" s="9">
        <f>IF(H8="","",1/H8)</f>
        <v/>
      </c>
      <c r="H9" s="9" t="n">
        <v>1</v>
      </c>
      <c r="I9" s="9">
        <f>IF(COUNT(B9:H9)&lt;7,"",POWER(PRODUCT(B9:H9),1/7))</f>
        <v/>
      </c>
      <c r="J9" s="9">
        <f>IF(I9="","",I9/SUM($I$3:$I$9))</f>
        <v/>
      </c>
      <c r="K9" s="9" t="n"/>
      <c r="L9" s="9">
        <f>IF(COUNT(B9:H9)&lt;7,"",B9*$J$3+C9*$J$4+D9*$J$5+E9*$J$6+F9*$J$7+G9*$J$8+H9*$J$9)</f>
        <v/>
      </c>
      <c r="M9" s="9">
        <f>IF(OR(L9="",J9=0),"",L9/J9)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λmax</t>
        </is>
      </c>
      <c r="B11" s="9">
        <f>IF(COUNT(M3:M9)&lt;7,"",AVERAGE(M3:M9))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inlineStr">
        <is>
          <t>CI</t>
        </is>
      </c>
      <c r="B12" s="9">
        <f>IF(B11="","",(B11-7)/(7-1))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inlineStr">
        <is>
          <t>RI</t>
        </is>
      </c>
      <c r="B13" s="9" t="n">
        <v>1.32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inlineStr">
        <is>
          <t>CR</t>
        </is>
      </c>
      <c r="B14" s="9">
        <f>IF(B12="","",IF(B13=0,0,B12/B13))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inlineStr">
        <is>
          <t>الحكم</t>
        </is>
      </c>
      <c r="B15" s="9">
        <f>IF(B14="","",IF(B14&lt;=0.1,"مقبول مبدئيًا","راجع المقارنات"))</f>
        <v/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dataValidations count="1">
    <dataValidation sqref="C3 D3 D4 E3 E4 E5 F3 F4 F5 F6 G3 G4 G5 G6 G7 H3 H4 H5 H6 H7 H8" showDropDown="0" showInputMessage="0" showErrorMessage="0" allowBlank="1" type="list">
      <formula1>"1,2,3,4,5,6,7,8,9,0.5,0.333333,0.25,0.2,0.166667,0.142857,0.125,0.111111"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rightToLeft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مقارنات مؤشرات بُعد نمو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2">
      <c r="A2" s="10" t="inlineStr"/>
      <c r="B2" s="10" t="inlineStr">
        <is>
          <t>OWI-36 الأوقاف الجديدة</t>
        </is>
      </c>
      <c r="C2" s="10" t="inlineStr">
        <is>
          <t>OWI-37 قيمة الأوقاف الجديدة</t>
        </is>
      </c>
      <c r="D2" s="10" t="inlineStr">
        <is>
          <t>OWI-38 الواقفون الجدد</t>
        </is>
      </c>
      <c r="E2" s="10" t="inlineStr">
        <is>
          <t>OWI-39 الوقف النقدي/المالي</t>
        </is>
      </c>
      <c r="F2" s="10" t="inlineStr">
        <is>
          <t>OWI-41 المنتجات المبتكرة</t>
        </is>
      </c>
      <c r="G2" s="10" t="inlineStr">
        <is>
          <t>OWI-42 الشراكات</t>
        </is>
      </c>
      <c r="H2" s="10" t="inlineStr">
        <is>
          <t>المتوسط الهندسي</t>
        </is>
      </c>
      <c r="I2" s="10" t="inlineStr">
        <is>
          <t>الوزن</t>
        </is>
      </c>
      <c r="J2" s="10" t="n"/>
      <c r="K2" s="10" t="inlineStr">
        <is>
          <t>Aw</t>
        </is>
      </c>
      <c r="L2" s="10" t="inlineStr">
        <is>
          <t>λ_i</t>
        </is>
      </c>
    </row>
    <row r="3">
      <c r="A3" s="9" t="inlineStr">
        <is>
          <t>OWI-36 الأوقاف الجديدة</t>
        </is>
      </c>
      <c r="B3" s="9" t="n">
        <v>1</v>
      </c>
      <c r="C3" s="9" t="inlineStr"/>
      <c r="D3" s="9" t="inlineStr"/>
      <c r="E3" s="9" t="inlineStr"/>
      <c r="F3" s="9" t="inlineStr"/>
      <c r="G3" s="9" t="inlineStr"/>
      <c r="H3" s="9">
        <f>IF(COUNT(B3:G3)&lt;6,"",POWER(PRODUCT(B3:G3),1/6))</f>
        <v/>
      </c>
      <c r="I3" s="9">
        <f>IF(H3="","",H3/SUM($H$3:$H$8))</f>
        <v/>
      </c>
      <c r="J3" s="9" t="n"/>
      <c r="K3" s="9">
        <f>IF(COUNT(B3:G3)&lt;6,"",B3*$I$3+C3*$I$4+D3*$I$5+E3*$I$6+F3*$I$7+G3*$I$8)</f>
        <v/>
      </c>
      <c r="L3" s="9">
        <f>IF(OR(K3="",I3=0),"",K3/I3)</f>
        <v/>
      </c>
    </row>
    <row r="4">
      <c r="A4" s="9" t="inlineStr">
        <is>
          <t>OWI-37 قيمة الأوقاف الجديدة</t>
        </is>
      </c>
      <c r="B4" s="9">
        <f>IF(C3="","",1/C3)</f>
        <v/>
      </c>
      <c r="C4" s="9" t="n">
        <v>1</v>
      </c>
      <c r="D4" s="9" t="inlineStr"/>
      <c r="E4" s="9" t="inlineStr"/>
      <c r="F4" s="9" t="inlineStr"/>
      <c r="G4" s="9" t="inlineStr"/>
      <c r="H4" s="9">
        <f>IF(COUNT(B4:G4)&lt;6,"",POWER(PRODUCT(B4:G4),1/6))</f>
        <v/>
      </c>
      <c r="I4" s="9">
        <f>IF(H4="","",H4/SUM($H$3:$H$8))</f>
        <v/>
      </c>
      <c r="J4" s="9" t="n"/>
      <c r="K4" s="9">
        <f>IF(COUNT(B4:G4)&lt;6,"",B4*$I$3+C4*$I$4+D4*$I$5+E4*$I$6+F4*$I$7+G4*$I$8)</f>
        <v/>
      </c>
      <c r="L4" s="9">
        <f>IF(OR(K4="",I4=0),"",K4/I4)</f>
        <v/>
      </c>
    </row>
    <row r="5">
      <c r="A5" s="9" t="inlineStr">
        <is>
          <t>OWI-38 الواقفون الجدد</t>
        </is>
      </c>
      <c r="B5" s="9">
        <f>IF(D3="","",1/D3)</f>
        <v/>
      </c>
      <c r="C5" s="9">
        <f>IF(D4="","",1/D4)</f>
        <v/>
      </c>
      <c r="D5" s="9" t="n">
        <v>1</v>
      </c>
      <c r="E5" s="9" t="inlineStr"/>
      <c r="F5" s="9" t="inlineStr"/>
      <c r="G5" s="9" t="inlineStr"/>
      <c r="H5" s="9">
        <f>IF(COUNT(B5:G5)&lt;6,"",POWER(PRODUCT(B5:G5),1/6))</f>
        <v/>
      </c>
      <c r="I5" s="9">
        <f>IF(H5="","",H5/SUM($H$3:$H$8))</f>
        <v/>
      </c>
      <c r="J5" s="9" t="n"/>
      <c r="K5" s="9">
        <f>IF(COUNT(B5:G5)&lt;6,"",B5*$I$3+C5*$I$4+D5*$I$5+E5*$I$6+F5*$I$7+G5*$I$8)</f>
        <v/>
      </c>
      <c r="L5" s="9">
        <f>IF(OR(K5="",I5=0),"",K5/I5)</f>
        <v/>
      </c>
    </row>
    <row r="6">
      <c r="A6" s="9" t="inlineStr">
        <is>
          <t>OWI-39 الوقف النقدي/المالي</t>
        </is>
      </c>
      <c r="B6" s="9">
        <f>IF(E3="","",1/E3)</f>
        <v/>
      </c>
      <c r="C6" s="9">
        <f>IF(E4="","",1/E4)</f>
        <v/>
      </c>
      <c r="D6" s="9">
        <f>IF(E5="","",1/E5)</f>
        <v/>
      </c>
      <c r="E6" s="9" t="n">
        <v>1</v>
      </c>
      <c r="F6" s="9" t="inlineStr"/>
      <c r="G6" s="9" t="inlineStr"/>
      <c r="H6" s="9">
        <f>IF(COUNT(B6:G6)&lt;6,"",POWER(PRODUCT(B6:G6),1/6))</f>
        <v/>
      </c>
      <c r="I6" s="9">
        <f>IF(H6="","",H6/SUM($H$3:$H$8))</f>
        <v/>
      </c>
      <c r="J6" s="9" t="n"/>
      <c r="K6" s="9">
        <f>IF(COUNT(B6:G6)&lt;6,"",B6*$I$3+C6*$I$4+D6*$I$5+E6*$I$6+F6*$I$7+G6*$I$8)</f>
        <v/>
      </c>
      <c r="L6" s="9">
        <f>IF(OR(K6="",I6=0),"",K6/I6)</f>
        <v/>
      </c>
    </row>
    <row r="7">
      <c r="A7" s="9" t="inlineStr">
        <is>
          <t>OWI-41 المنتجات المبتكرة</t>
        </is>
      </c>
      <c r="B7" s="9">
        <f>IF(F3="","",1/F3)</f>
        <v/>
      </c>
      <c r="C7" s="9">
        <f>IF(F4="","",1/F4)</f>
        <v/>
      </c>
      <c r="D7" s="9">
        <f>IF(F5="","",1/F5)</f>
        <v/>
      </c>
      <c r="E7" s="9">
        <f>IF(F6="","",1/F6)</f>
        <v/>
      </c>
      <c r="F7" s="9" t="n">
        <v>1</v>
      </c>
      <c r="G7" s="9" t="inlineStr"/>
      <c r="H7" s="9">
        <f>IF(COUNT(B7:G7)&lt;6,"",POWER(PRODUCT(B7:G7),1/6))</f>
        <v/>
      </c>
      <c r="I7" s="9">
        <f>IF(H7="","",H7/SUM($H$3:$H$8))</f>
        <v/>
      </c>
      <c r="J7" s="9" t="n"/>
      <c r="K7" s="9">
        <f>IF(COUNT(B7:G7)&lt;6,"",B7*$I$3+C7*$I$4+D7*$I$5+E7*$I$6+F7*$I$7+G7*$I$8)</f>
        <v/>
      </c>
      <c r="L7" s="9">
        <f>IF(OR(K7="",I7=0),"",K7/I7)</f>
        <v/>
      </c>
    </row>
    <row r="8">
      <c r="A8" s="9" t="inlineStr">
        <is>
          <t>OWI-42 الشراكات</t>
        </is>
      </c>
      <c r="B8" s="9">
        <f>IF(G3="","",1/G3)</f>
        <v/>
      </c>
      <c r="C8" s="9">
        <f>IF(G4="","",1/G4)</f>
        <v/>
      </c>
      <c r="D8" s="9">
        <f>IF(G5="","",1/G5)</f>
        <v/>
      </c>
      <c r="E8" s="9">
        <f>IF(G6="","",1/G6)</f>
        <v/>
      </c>
      <c r="F8" s="9">
        <f>IF(G7="","",1/G7)</f>
        <v/>
      </c>
      <c r="G8" s="9" t="n">
        <v>1</v>
      </c>
      <c r="H8" s="9">
        <f>IF(COUNT(B8:G8)&lt;6,"",POWER(PRODUCT(B8:G8),1/6))</f>
        <v/>
      </c>
      <c r="I8" s="9">
        <f>IF(H8="","",H8/SUM($H$3:$H$8))</f>
        <v/>
      </c>
      <c r="J8" s="9" t="n"/>
      <c r="K8" s="9">
        <f>IF(COUNT(B8:G8)&lt;6,"",B8*$I$3+C8*$I$4+D8*$I$5+E8*$I$6+F8*$I$7+G8*$I$8)</f>
        <v/>
      </c>
      <c r="L8" s="9">
        <f>IF(OR(K8="",I8=0),"",K8/I8)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>
      <c r="A10" s="9" t="inlineStr">
        <is>
          <t>λmax</t>
        </is>
      </c>
      <c r="B10" s="9">
        <f>IF(COUNT(L3:L8)&lt;6,"",AVERAGE(L3:L8))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9" t="inlineStr">
        <is>
          <t>CI</t>
        </is>
      </c>
      <c r="B11" s="9">
        <f>IF(B10="","",(B10-6)/(6-1))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9" t="inlineStr">
        <is>
          <t>RI</t>
        </is>
      </c>
      <c r="B12" s="9" t="n">
        <v>1.24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9" t="inlineStr">
        <is>
          <t>CR</t>
        </is>
      </c>
      <c r="B13" s="9">
        <f>IF(B11="","",IF(B12=0,0,B11/B12))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>
      <c r="A14" s="9" t="inlineStr">
        <is>
          <t>الحكم</t>
        </is>
      </c>
      <c r="B14" s="9">
        <f>IF(B13="","",IF(B13&lt;=0.1,"مقبول مبدئيًا","راجع المقارنات"))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</sheetData>
  <dataValidations count="1">
    <dataValidation sqref="C3 D3 D4 E3 E4 E5 F3 F4 F5 F6 G3 G4 G5 G6 G7" showDropDown="0" showInputMessage="0" showErrorMessage="0" allowBlank="1" type="list">
      <formula1>"1,2,3,4,5,6,7,8,9,0.5,0.333333,0.25,0.2,0.166667,0.142857,0.125,0.111111"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2026-09-06T07:04:55Z</dcterms:created>
  <dcterms:modified xmlns:dcterms="http://purl.org/dc/terms/" xmlns:xsi="http://www.w3.org/2001/XMLSchema-instance" xsi:type="dcterms:W3CDTF">2026-09-06T07:04:55Z</dcterms:modified>
</cp:coreProperties>
</file>